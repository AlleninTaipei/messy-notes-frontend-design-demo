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1" l="1"/>
  <c r="L8" i="1"/>
  <c r="L7" i="1" s="1"/>
  <c r="L6" i="1" s="1"/>
  <c r="L5" i="1" s="1"/>
  <c r="L4" i="1" s="1"/>
  <c r="K8" i="1"/>
  <c r="K7" i="1" s="1"/>
  <c r="K6" i="1" s="1"/>
  <c r="K5" i="1" s="1"/>
  <c r="K4" i="1" s="1"/>
  <c r="K3" i="1" s="1"/>
</calcChain>
</file>

<file path=xl/sharedStrings.xml><?xml version="1.0" encoding="utf-8"?>
<sst xmlns="http://schemas.openxmlformats.org/spreadsheetml/2006/main" count="20" uniqueCount="20">
  <si>
    <t>股利發放年度</t>
  </si>
  <si>
    <t>股利所屬盈餘期間</t>
  </si>
  <si>
    <t>股東會日期</t>
  </si>
  <si>
    <t>除息交易日</t>
  </si>
  <si>
    <t>除息參考價</t>
  </si>
  <si>
    <t>填息完成日</t>
  </si>
  <si>
    <t>填息花費日數</t>
  </si>
  <si>
    <t>現金股利發放日</t>
  </si>
  <si>
    <t>現金股利發放日收盤價</t>
  </si>
  <si>
    <t>股東股利(元/股) 現金股利</t>
  </si>
  <si>
    <t>配息投入累積持股</t>
  </si>
  <si>
    <t>配息投入加買一張累積持股</t>
  </si>
  <si>
    <t>2021全年</t>
  </si>
  <si>
    <t>2020全年</t>
  </si>
  <si>
    <t>2019全年</t>
  </si>
  <si>
    <t>2018全年</t>
  </si>
  <si>
    <t>2017全年</t>
  </si>
  <si>
    <t>2016全年</t>
  </si>
  <si>
    <t>2015全年</t>
  </si>
  <si>
    <t>中華電信投資回報推演: 2015/12/31 買進第一張 99.5. 6 年 8個月後, 累積第一桶金.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</si>
</sst>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3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14" fontId="4" fillId="0" borderId="0" xfId="0" applyNumberFormat="1" applyFont="1" applyBorder="1" applyAlignment="1">
      <alignment horizontal="left" vertical="top" wrapText="1"/>
    </xf>
    <xf numFmtId="14" fontId="4" fillId="2" borderId="0" xfId="0" applyNumberFormat="1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4" fontId="4" fillId="2" borderId="5" xfId="0" applyNumberFormat="1" applyFont="1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2" fillId="2" borderId="8" xfId="0" applyFont="1" applyFill="1" applyBorder="1" applyAlignment="1">
      <alignment horizontal="left"/>
    </xf>
    <xf numFmtId="0" fontId="2" fillId="2" borderId="0" xfId="0" applyFont="1" applyFill="1"/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D18" sqref="D18"/>
    </sheetView>
  </sheetViews>
  <sheetFormatPr defaultRowHeight="15.75"/>
  <cols>
    <col min="1" max="2" width="12.140625" customWidth="1"/>
    <col min="3" max="4" width="13.28515625" bestFit="1" customWidth="1"/>
    <col min="5" max="5" width="12.42578125" customWidth="1"/>
    <col min="6" max="6" width="14.7109375" bestFit="1" customWidth="1"/>
    <col min="7" max="7" width="15.7109375" customWidth="1"/>
    <col min="8" max="8" width="12.28515625" customWidth="1"/>
    <col min="9" max="9" width="18.5703125" customWidth="1"/>
    <col min="10" max="10" width="17.42578125" customWidth="1"/>
    <col min="11" max="11" width="10.42578125" customWidth="1"/>
    <col min="12" max="12" width="15.7109375" customWidth="1"/>
  </cols>
  <sheetData>
    <row r="1" spans="1:12" ht="32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>
      <c r="A2" s="4">
        <v>2022</v>
      </c>
      <c r="B2" s="5" t="s">
        <v>12</v>
      </c>
      <c r="C2" s="6">
        <v>44708</v>
      </c>
      <c r="D2" s="6">
        <v>44742</v>
      </c>
      <c r="E2" s="5">
        <v>126</v>
      </c>
      <c r="F2" s="6">
        <v>45783</v>
      </c>
      <c r="G2" s="5">
        <v>689</v>
      </c>
      <c r="H2" s="7">
        <v>44778</v>
      </c>
      <c r="I2" s="5">
        <v>122</v>
      </c>
      <c r="J2" s="5">
        <v>4.6100000000000003</v>
      </c>
      <c r="K2" s="5"/>
      <c r="L2" s="8"/>
    </row>
    <row r="3" spans="1:12">
      <c r="A3" s="4">
        <v>2021</v>
      </c>
      <c r="B3" s="5" t="s">
        <v>13</v>
      </c>
      <c r="C3" s="6">
        <v>44344</v>
      </c>
      <c r="D3" s="6">
        <v>44433</v>
      </c>
      <c r="E3" s="5">
        <v>111</v>
      </c>
      <c r="F3" s="6">
        <v>44551</v>
      </c>
      <c r="G3" s="5">
        <v>82</v>
      </c>
      <c r="H3" s="6">
        <v>44467</v>
      </c>
      <c r="I3" s="5">
        <v>111.5</v>
      </c>
      <c r="J3" s="5">
        <v>4.3099999999999996</v>
      </c>
      <c r="K3" s="5">
        <f t="shared" ref="K3:K8" si="0">K4+ROUND(K4*J3/I3,0)</f>
        <v>1288</v>
      </c>
      <c r="L3" s="8">
        <v>7928</v>
      </c>
    </row>
    <row r="4" spans="1:12">
      <c r="A4" s="4">
        <v>2020</v>
      </c>
      <c r="B4" s="5" t="s">
        <v>14</v>
      </c>
      <c r="C4" s="6">
        <v>43980</v>
      </c>
      <c r="D4" s="6">
        <v>44014</v>
      </c>
      <c r="E4" s="5">
        <v>112.5</v>
      </c>
      <c r="F4" s="6">
        <v>44406</v>
      </c>
      <c r="G4" s="5">
        <v>265</v>
      </c>
      <c r="H4" s="6">
        <v>44049</v>
      </c>
      <c r="I4" s="5">
        <v>109</v>
      </c>
      <c r="J4" s="5">
        <v>4.2300000000000004</v>
      </c>
      <c r="K4" s="5">
        <f t="shared" si="0"/>
        <v>1240</v>
      </c>
      <c r="L4" s="8">
        <f>L5+ROUND(L5*J4/I4,0)+1000</f>
        <v>6670</v>
      </c>
    </row>
    <row r="5" spans="1:12">
      <c r="A5" s="4">
        <v>2019</v>
      </c>
      <c r="B5" s="5" t="s">
        <v>15</v>
      </c>
      <c r="C5" s="6">
        <v>43637</v>
      </c>
      <c r="D5" s="6">
        <v>43671</v>
      </c>
      <c r="E5" s="5">
        <v>107.5</v>
      </c>
      <c r="F5" s="6">
        <v>43726</v>
      </c>
      <c r="G5" s="5">
        <v>38</v>
      </c>
      <c r="H5" s="6">
        <v>43705</v>
      </c>
      <c r="I5" s="5">
        <v>110</v>
      </c>
      <c r="J5" s="5">
        <v>4.4800000000000004</v>
      </c>
      <c r="K5" s="5">
        <f t="shared" si="0"/>
        <v>1194</v>
      </c>
      <c r="L5" s="8">
        <f>L6+ROUND(L6*J5/I5,0)+1000</f>
        <v>5458</v>
      </c>
    </row>
    <row r="6" spans="1:12">
      <c r="A6" s="4">
        <v>2018</v>
      </c>
      <c r="B6" s="5" t="s">
        <v>16</v>
      </c>
      <c r="C6" s="6">
        <v>43266</v>
      </c>
      <c r="D6" s="6">
        <v>43304</v>
      </c>
      <c r="E6" s="5">
        <v>106.5</v>
      </c>
      <c r="F6" s="6">
        <v>43462</v>
      </c>
      <c r="G6" s="5">
        <v>114</v>
      </c>
      <c r="H6" s="6">
        <v>43336</v>
      </c>
      <c r="I6" s="5">
        <v>108.5</v>
      </c>
      <c r="J6" s="5">
        <v>4.8</v>
      </c>
      <c r="K6" s="5">
        <f t="shared" si="0"/>
        <v>1147</v>
      </c>
      <c r="L6" s="8">
        <f t="shared" ref="L6:L8" si="1">L7+ROUND(L7*J6/I6,0)+1000</f>
        <v>4284</v>
      </c>
    </row>
    <row r="7" spans="1:12">
      <c r="A7" s="4">
        <v>2017</v>
      </c>
      <c r="B7" s="5" t="s">
        <v>17</v>
      </c>
      <c r="C7" s="6">
        <v>42909</v>
      </c>
      <c r="D7" s="6">
        <v>42937</v>
      </c>
      <c r="E7" s="5">
        <v>104.5</v>
      </c>
      <c r="F7" s="6">
        <v>43110</v>
      </c>
      <c r="G7" s="5">
        <v>121</v>
      </c>
      <c r="H7" s="6">
        <v>42972</v>
      </c>
      <c r="I7" s="5">
        <v>104.5</v>
      </c>
      <c r="J7" s="5">
        <v>4.9400000000000004</v>
      </c>
      <c r="K7" s="5">
        <f t="shared" si="0"/>
        <v>1098</v>
      </c>
      <c r="L7" s="8">
        <f t="shared" si="1"/>
        <v>3145</v>
      </c>
    </row>
    <row r="8" spans="1:12">
      <c r="A8" s="4">
        <v>2016</v>
      </c>
      <c r="B8" s="5" t="s">
        <v>18</v>
      </c>
      <c r="C8" s="6">
        <v>42545</v>
      </c>
      <c r="D8" s="6">
        <v>42572</v>
      </c>
      <c r="E8" s="5">
        <v>117.5</v>
      </c>
      <c r="F8" s="5"/>
      <c r="G8" s="5"/>
      <c r="H8" s="6">
        <v>42608</v>
      </c>
      <c r="I8" s="5">
        <v>113.5</v>
      </c>
      <c r="J8" s="5">
        <v>5.49</v>
      </c>
      <c r="K8" s="5">
        <f t="shared" si="0"/>
        <v>1048</v>
      </c>
      <c r="L8" s="8">
        <f t="shared" si="1"/>
        <v>2048</v>
      </c>
    </row>
    <row r="9" spans="1:12">
      <c r="A9" s="9">
        <v>2015</v>
      </c>
      <c r="B9" s="10"/>
      <c r="C9" s="10"/>
      <c r="D9" s="10"/>
      <c r="E9" s="10"/>
      <c r="F9" s="10"/>
      <c r="G9" s="10"/>
      <c r="H9" s="10"/>
      <c r="I9" s="10">
        <v>99.5</v>
      </c>
      <c r="J9" s="10"/>
      <c r="K9" s="10">
        <v>1000</v>
      </c>
      <c r="L9" s="11">
        <v>1000</v>
      </c>
    </row>
    <row r="10" spans="1:12">
      <c r="A10" s="12"/>
      <c r="B10" s="13"/>
      <c r="C10" s="13"/>
      <c r="D10" s="13"/>
      <c r="E10" s="13"/>
      <c r="F10" s="13"/>
      <c r="G10" s="13"/>
      <c r="H10" s="13"/>
      <c r="I10" s="5"/>
      <c r="J10" s="13"/>
      <c r="K10" s="13"/>
      <c r="L10" s="14"/>
    </row>
    <row r="11" spans="1:1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5">
        <v>44778</v>
      </c>
    </row>
    <row r="12" spans="1:12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>
        <f>ROUND(L3*4.61+L3*122,0)</f>
        <v>1003764</v>
      </c>
    </row>
    <row r="13" spans="1:12">
      <c r="A13" s="19" t="s">
        <v>19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2026-07-08T10:05:18Z</dcterms:modified>
</cp:coreProperties>
</file>